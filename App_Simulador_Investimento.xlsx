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el\Desktop\Curso Santander\Santander Excel Com Ia E Claude\"/>
    </mc:Choice>
  </mc:AlternateContent>
  <xr:revisionPtr revIDLastSave="0" documentId="13_ncr:1_{EB4172AE-20FD-4001-9503-B67C31158859}" xr6:coauthVersionLast="47" xr6:coauthVersionMax="47" xr10:uidLastSave="{00000000-0000-0000-0000-000000000000}"/>
  <bookViews>
    <workbookView xWindow="-108" yWindow="-108" windowWidth="23256" windowHeight="12456" tabRatio="0" xr2:uid="{CFE06460-DA87-4238-B45B-58C4DFA0DCA7}"/>
  </bookViews>
  <sheets>
    <sheet name="Planilha1" sheetId="1" r:id="rId1"/>
    <sheet name="Tabela Apoio" sheetId="2" state="hidden" r:id="rId2"/>
  </sheets>
  <definedNames>
    <definedName name="Investir_Mes">Planilha1!$J$20</definedName>
    <definedName name="Salario_Base">Planilha1!$J$15</definedName>
    <definedName name="Sugestao_Investimento">Planilha1!$J$17</definedName>
    <definedName name="Taxa_Mensal">Planilha1!$J$22</definedName>
    <definedName name="Tempo_Anos">Planilha1!$J$21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8" i="1" l="1"/>
  <c r="I39" i="1"/>
  <c r="I40" i="1"/>
  <c r="I41" i="1"/>
  <c r="J41" i="1" s="1"/>
  <c r="I42" i="1"/>
  <c r="I37" i="1"/>
  <c r="A17" i="2"/>
  <c r="A18" i="2"/>
  <c r="A19" i="2"/>
  <c r="A20" i="2"/>
  <c r="A21" i="2"/>
  <c r="A16" i="2"/>
  <c r="A11" i="2"/>
  <c r="A12" i="2"/>
  <c r="A13" i="2"/>
  <c r="A14" i="2"/>
  <c r="A15" i="2"/>
  <c r="A10" i="2"/>
  <c r="A5" i="2"/>
  <c r="A6" i="2"/>
  <c r="A7" i="2"/>
  <c r="A8" i="2"/>
  <c r="A9" i="2"/>
  <c r="A4" i="2"/>
  <c r="I34" i="1"/>
  <c r="I27" i="1"/>
  <c r="J27" i="1" s="1"/>
  <c r="I28" i="1"/>
  <c r="J28" i="1" s="1"/>
  <c r="I29" i="1"/>
  <c r="J29" i="1" s="1"/>
  <c r="I30" i="1"/>
  <c r="J30" i="1" s="1"/>
  <c r="I31" i="1"/>
  <c r="J31" i="1" s="1"/>
  <c r="J23" i="1"/>
  <c r="J24" i="1" s="1"/>
  <c r="J17" i="1"/>
  <c r="J38" i="1" l="1"/>
  <c r="J37" i="1"/>
  <c r="J39" i="1"/>
  <c r="J40" i="1"/>
  <c r="J42" i="1"/>
  <c r="J43" i="1" l="1"/>
</calcChain>
</file>

<file path=xl/sharedStrings.xml><?xml version="1.0" encoding="utf-8"?>
<sst xmlns="http://schemas.openxmlformats.org/spreadsheetml/2006/main" count="75" uniqueCount="34">
  <si>
    <t>CONFIGURAÇÕES</t>
  </si>
  <si>
    <t>Rendimento Carteira</t>
  </si>
  <si>
    <t>Sugestão de Investimento (30%)</t>
  </si>
  <si>
    <t>Sálario</t>
  </si>
  <si>
    <t>INVESTIMENTO INICIAL</t>
  </si>
  <si>
    <t>Quanto investir por mês ?</t>
  </si>
  <si>
    <t>Por Quantos Anos ?</t>
  </si>
  <si>
    <t>Taxa de Rendimento mensal ?</t>
  </si>
  <si>
    <t>Patrimônio acumulado ?</t>
  </si>
  <si>
    <t>Dividendos Mensais ?</t>
  </si>
  <si>
    <t>Cenários</t>
  </si>
  <si>
    <t>Dividendos</t>
  </si>
  <si>
    <t>Quantos em 2 Anos?</t>
  </si>
  <si>
    <t>Quantos em 5 Anos?</t>
  </si>
  <si>
    <t>Quantos em 10 Anos?</t>
  </si>
  <si>
    <t>Quantos em 20 Anos?</t>
  </si>
  <si>
    <t>Quantos em 30 Anos?</t>
  </si>
  <si>
    <t>Agressivo</t>
  </si>
  <si>
    <t>Moderado</t>
  </si>
  <si>
    <t>Conservador</t>
  </si>
  <si>
    <t>VALOR A SER INVESTIDO POR MÊS</t>
  </si>
  <si>
    <t>PERFIL</t>
  </si>
  <si>
    <t>TIPO DE FII</t>
  </si>
  <si>
    <t>Percentual Sugerido</t>
  </si>
  <si>
    <t>PAPEL</t>
  </si>
  <si>
    <t>TIJOLO</t>
  </si>
  <si>
    <t>DESENVOLVIMENTO</t>
  </si>
  <si>
    <t>HOTELARIAS</t>
  </si>
  <si>
    <t>HÍBRIDOS</t>
  </si>
  <si>
    <t>FOFs</t>
  </si>
  <si>
    <t>Valores</t>
  </si>
  <si>
    <t>TIPOS DE FIIs</t>
  </si>
  <si>
    <t>%</t>
  </si>
  <si>
    <t>CHAVE COMPOSTA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</si>
</sst>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0"/>
      <color theme="0"/>
      <name val="Bahnschrift"/>
      <family val="2"/>
    </font>
    <font>
      <sz val="12"/>
      <color theme="0"/>
      <name val="Bahnschrift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2"/>
      <color theme="1"/>
      <name val="Bahnschrif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5A059"/>
        <bgColor indexed="64"/>
      </patternFill>
    </fill>
    <fill>
      <patternFill patternType="solid">
        <fgColor rgb="FF102A43"/>
        <bgColor indexed="64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6" borderId="0" applyNumberFormat="0" applyBorder="0" applyAlignment="0" applyProtection="0"/>
  </cellStyleXfs>
  <cellXfs count="78">
    <xf numFmtId="0" fontId="0" fillId="0" borderId="0" xfId="0"/>
    <xf numFmtId="0" fontId="3" fillId="0" borderId="0" xfId="0" applyFont="1" applyFill="1" applyAlignment="1"/>
    <xf numFmtId="0" fontId="2" fillId="0" borderId="0" xfId="0" applyFont="1"/>
    <xf numFmtId="0" fontId="5" fillId="4" borderId="0" xfId="3" applyFont="1" applyFill="1"/>
    <xf numFmtId="0" fontId="5" fillId="4" borderId="0" xfId="3" applyFont="1" applyFill="1" applyAlignment="1">
      <alignment horizontal="center" vertical="center"/>
    </xf>
    <xf numFmtId="0" fontId="5" fillId="4" borderId="0" xfId="3" applyFont="1" applyFill="1" applyAlignment="1">
      <alignment horizontal="left" indent="2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9" fontId="8" fillId="0" borderId="0" xfId="2" applyNumberFormat="1" applyFont="1" applyAlignment="1">
      <alignment horizontal="center" vertical="center"/>
    </xf>
    <xf numFmtId="164" fontId="8" fillId="3" borderId="14" xfId="0" applyNumberFormat="1" applyFont="1" applyFill="1" applyBorder="1" applyAlignment="1">
      <alignment horizontal="center" vertical="center"/>
    </xf>
    <xf numFmtId="164" fontId="8" fillId="3" borderId="17" xfId="0" applyNumberFormat="1" applyFont="1" applyFill="1" applyBorder="1" applyAlignment="1">
      <alignment horizontal="center" vertical="center"/>
    </xf>
    <xf numFmtId="164" fontId="8" fillId="3" borderId="19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9" fontId="8" fillId="0" borderId="0" xfId="0" applyNumberFormat="1" applyFont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/>
    </xf>
    <xf numFmtId="9" fontId="8" fillId="0" borderId="0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9" fontId="0" fillId="0" borderId="22" xfId="2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10" fillId="2" borderId="0" xfId="0" applyFont="1" applyFill="1"/>
    <xf numFmtId="8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8" fontId="8" fillId="3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indent="2"/>
    </xf>
    <xf numFmtId="0" fontId="8" fillId="2" borderId="5" xfId="0" applyFont="1" applyFill="1" applyBorder="1" applyAlignment="1">
      <alignment horizontal="left" vertical="center" indent="2"/>
    </xf>
    <xf numFmtId="0" fontId="10" fillId="3" borderId="18" xfId="0" applyFont="1" applyFill="1" applyBorder="1" applyAlignment="1">
      <alignment horizontal="left" vertical="center" indent="2"/>
    </xf>
    <xf numFmtId="0" fontId="10" fillId="3" borderId="19" xfId="0" applyFont="1" applyFill="1" applyBorder="1" applyAlignment="1">
      <alignment horizontal="left" vertical="center" indent="2"/>
    </xf>
    <xf numFmtId="164" fontId="8" fillId="3" borderId="14" xfId="0" applyNumberFormat="1" applyFont="1" applyFill="1" applyBorder="1" applyAlignment="1">
      <alignment horizontal="center" vertical="center"/>
    </xf>
    <xf numFmtId="164" fontId="8" fillId="3" borderId="15" xfId="0" applyNumberFormat="1" applyFont="1" applyFill="1" applyBorder="1" applyAlignment="1">
      <alignment horizontal="center" vertical="center"/>
    </xf>
    <xf numFmtId="164" fontId="8" fillId="3" borderId="20" xfId="0" applyNumberFormat="1" applyFont="1" applyFill="1" applyBorder="1" applyAlignment="1">
      <alignment horizontal="center" vertical="center"/>
    </xf>
    <xf numFmtId="164" fontId="8" fillId="3" borderId="21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indent="2"/>
    </xf>
    <xf numFmtId="0" fontId="10" fillId="3" borderId="14" xfId="0" applyFont="1" applyFill="1" applyBorder="1" applyAlignment="1">
      <alignment horizontal="left" vertical="center" indent="2"/>
    </xf>
    <xf numFmtId="0" fontId="10" fillId="3" borderId="16" xfId="0" applyFont="1" applyFill="1" applyBorder="1" applyAlignment="1">
      <alignment horizontal="left" vertical="center" indent="2"/>
    </xf>
    <xf numFmtId="0" fontId="10" fillId="3" borderId="17" xfId="0" applyFont="1" applyFill="1" applyBorder="1" applyAlignment="1">
      <alignment horizontal="left" vertical="center" indent="2"/>
    </xf>
    <xf numFmtId="164" fontId="8" fillId="3" borderId="0" xfId="0" applyNumberFormat="1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indent="2"/>
    </xf>
    <xf numFmtId="0" fontId="10" fillId="2" borderId="2" xfId="0" applyFont="1" applyFill="1" applyBorder="1" applyAlignment="1">
      <alignment horizontal="left" vertical="center" indent="2"/>
    </xf>
    <xf numFmtId="0" fontId="10" fillId="2" borderId="4" xfId="0" applyFont="1" applyFill="1" applyBorder="1" applyAlignment="1">
      <alignment horizontal="left" vertical="center" indent="2"/>
    </xf>
    <xf numFmtId="0" fontId="10" fillId="2" borderId="5" xfId="0" applyFont="1" applyFill="1" applyBorder="1" applyAlignment="1">
      <alignment horizontal="left" vertical="center" indent="2"/>
    </xf>
    <xf numFmtId="0" fontId="10" fillId="2" borderId="7" xfId="0" applyFont="1" applyFill="1" applyBorder="1" applyAlignment="1">
      <alignment horizontal="left" vertical="center" indent="2"/>
    </xf>
    <xf numFmtId="0" fontId="10" fillId="2" borderId="8" xfId="0" applyFont="1" applyFill="1" applyBorder="1" applyAlignment="1">
      <alignment horizontal="left" vertical="center" indent="2"/>
    </xf>
    <xf numFmtId="164" fontId="8" fillId="0" borderId="2" xfId="1" applyNumberFormat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10" fontId="8" fillId="0" borderId="5" xfId="2" applyNumberFormat="1" applyFont="1" applyBorder="1" applyAlignment="1">
      <alignment horizontal="center" vertical="center"/>
    </xf>
    <xf numFmtId="10" fontId="8" fillId="0" borderId="6" xfId="2" applyNumberFormat="1" applyFont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indent="2"/>
    </xf>
    <xf numFmtId="0" fontId="8" fillId="2" borderId="2" xfId="0" applyFont="1" applyFill="1" applyBorder="1" applyAlignment="1">
      <alignment horizontal="left" vertical="center" indent="2"/>
    </xf>
    <xf numFmtId="0" fontId="10" fillId="3" borderId="4" xfId="0" applyFont="1" applyFill="1" applyBorder="1" applyAlignment="1">
      <alignment horizontal="left" vertical="center" indent="2"/>
    </xf>
    <xf numFmtId="0" fontId="10" fillId="3" borderId="5" xfId="0" applyFont="1" applyFill="1" applyBorder="1" applyAlignment="1">
      <alignment horizontal="left" vertical="center" indent="2"/>
    </xf>
    <xf numFmtId="0" fontId="10" fillId="3" borderId="7" xfId="0" applyFont="1" applyFill="1" applyBorder="1" applyAlignment="1">
      <alignment horizontal="left" vertical="center" indent="2"/>
    </xf>
    <xf numFmtId="0" fontId="10" fillId="3" borderId="8" xfId="0" applyFont="1" applyFill="1" applyBorder="1" applyAlignment="1">
      <alignment horizontal="left" vertical="center" indent="2"/>
    </xf>
    <xf numFmtId="164" fontId="8" fillId="0" borderId="2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0" fontId="8" fillId="0" borderId="5" xfId="0" applyNumberFormat="1" applyFont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C5A059"/>
      <color rgb="FFFBFBFA"/>
      <color rgb="FF102A43"/>
      <color rgb="FFB5A642"/>
      <color rgb="FFD3AF37"/>
      <color rgb="FFFFCD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F-4582-B72C-84E50CDB1D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F-4582-B72C-84E50CDB1D5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F-4582-B72C-84E50CDB1D5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F-4582-B72C-84E50CDB1D5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BF-4582-B72C-84E50CDB1D5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4BF-4582-B72C-84E50CDB1D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Planilha1!$C$37:$C$42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Planilha1!$I$37:$I$42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F-4999-917E-EEE10DD0F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5863</xdr:colOff>
      <xdr:row>2</xdr:row>
      <xdr:rowOff>0</xdr:rowOff>
    </xdr:from>
    <xdr:to>
      <xdr:col>11</xdr:col>
      <xdr:colOff>357554</xdr:colOff>
      <xdr:row>11</xdr:row>
      <xdr:rowOff>154080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E49F431-9479-418D-B4C4-916524585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96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" contrast="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687" t="18333" r="15392" b="21961"/>
        <a:stretch/>
      </xdr:blipFill>
      <xdr:spPr>
        <a:xfrm>
          <a:off x="920263" y="363415"/>
          <a:ext cx="5333999" cy="1789450"/>
        </a:xfrm>
        <a:prstGeom prst="rect">
          <a:avLst/>
        </a:prstGeom>
        <a:solidFill>
          <a:schemeClr val="accent1"/>
        </a:solidFill>
        <a:ln>
          <a:noFill/>
        </a:ln>
        <a:effectLst>
          <a:outerShdw blurRad="50800" dist="50800" dir="5400000" algn="ctr" rotWithShape="0">
            <a:schemeClr val="bg2"/>
          </a:outerShdw>
        </a:effectLst>
      </xdr:spPr>
    </xdr:pic>
    <xdr:clientData/>
  </xdr:twoCellAnchor>
  <xdr:twoCellAnchor>
    <xdr:from>
      <xdr:col>3</xdr:col>
      <xdr:colOff>8790</xdr:colOff>
      <xdr:row>44</xdr:row>
      <xdr:rowOff>11722</xdr:rowOff>
    </xdr:from>
    <xdr:to>
      <xdr:col>11</xdr:col>
      <xdr:colOff>380997</xdr:colOff>
      <xdr:row>59</xdr:row>
      <xdr:rowOff>29306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449C7B1-84C1-0252-A03B-A56691BF0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F279-47E2-4DAD-B0DD-83070FE6E1F8}">
  <sheetPr>
    <pageSetUpPr fitToPage="1"/>
  </sheetPr>
  <dimension ref="C13:M43"/>
  <sheetViews>
    <sheetView showGridLines="0" showRowColHeaders="0" tabSelected="1" zoomScale="130" zoomScaleNormal="130" workbookViewId="0">
      <selection activeCell="I33" sqref="I33"/>
    </sheetView>
  </sheetViews>
  <sheetFormatPr defaultRowHeight="14.4" x14ac:dyDescent="0.3"/>
  <cols>
    <col min="1" max="3" width="4.44140625" customWidth="1"/>
    <col min="8" max="8" width="6.33203125" customWidth="1"/>
    <col min="9" max="9" width="21.88671875" bestFit="1" customWidth="1"/>
    <col min="10" max="11" width="4.44140625" customWidth="1"/>
    <col min="12" max="12" width="5.5546875" customWidth="1"/>
    <col min="13" max="15" width="4.44140625" customWidth="1"/>
  </cols>
  <sheetData>
    <row r="13" spans="4:13" ht="15" thickBot="1" x14ac:dyDescent="0.35"/>
    <row r="14" spans="4:13" ht="25.8" customHeight="1" x14ac:dyDescent="0.45">
      <c r="D14" s="47" t="s">
        <v>0</v>
      </c>
      <c r="E14" s="48"/>
      <c r="F14" s="48"/>
      <c r="G14" s="48"/>
      <c r="H14" s="48"/>
      <c r="I14" s="48"/>
      <c r="J14" s="48"/>
      <c r="K14" s="48"/>
      <c r="L14" s="49"/>
      <c r="M14" s="1"/>
    </row>
    <row r="15" spans="4:13" ht="15" x14ac:dyDescent="0.3">
      <c r="D15" s="50" t="s">
        <v>3</v>
      </c>
      <c r="E15" s="51"/>
      <c r="F15" s="51"/>
      <c r="G15" s="51"/>
      <c r="H15" s="51"/>
      <c r="I15" s="51"/>
      <c r="J15" s="56">
        <v>2594.94</v>
      </c>
      <c r="K15" s="56"/>
      <c r="L15" s="57"/>
    </row>
    <row r="16" spans="4:13" ht="15" x14ac:dyDescent="0.3">
      <c r="D16" s="52" t="s">
        <v>1</v>
      </c>
      <c r="E16" s="53"/>
      <c r="F16" s="53"/>
      <c r="G16" s="53"/>
      <c r="H16" s="53"/>
      <c r="I16" s="53"/>
      <c r="J16" s="58">
        <v>6.0000000000000001E-3</v>
      </c>
      <c r="K16" s="58"/>
      <c r="L16" s="59"/>
    </row>
    <row r="17" spans="3:12" ht="15.6" thickBot="1" x14ac:dyDescent="0.35">
      <c r="D17" s="54" t="s">
        <v>2</v>
      </c>
      <c r="E17" s="55"/>
      <c r="F17" s="55"/>
      <c r="G17" s="55"/>
      <c r="H17" s="55"/>
      <c r="I17" s="55"/>
      <c r="J17" s="60">
        <f>Salario_Base*30%</f>
        <v>778.48199999999997</v>
      </c>
      <c r="K17" s="60"/>
      <c r="L17" s="61"/>
    </row>
    <row r="18" spans="3:12" ht="15" thickBot="1" x14ac:dyDescent="0.35"/>
    <row r="19" spans="3:12" ht="25.8" customHeight="1" x14ac:dyDescent="0.3">
      <c r="D19" s="38" t="s">
        <v>4</v>
      </c>
      <c r="E19" s="39"/>
      <c r="F19" s="39"/>
      <c r="G19" s="39"/>
      <c r="H19" s="39"/>
      <c r="I19" s="39"/>
      <c r="J19" s="39"/>
      <c r="K19" s="39"/>
      <c r="L19" s="62"/>
    </row>
    <row r="20" spans="3:12" ht="15" x14ac:dyDescent="0.3">
      <c r="D20" s="63" t="s">
        <v>5</v>
      </c>
      <c r="E20" s="64"/>
      <c r="F20" s="64"/>
      <c r="G20" s="64"/>
      <c r="H20" s="64"/>
      <c r="I20" s="64"/>
      <c r="J20" s="69">
        <v>600</v>
      </c>
      <c r="K20" s="69"/>
      <c r="L20" s="70"/>
    </row>
    <row r="21" spans="3:12" ht="15" x14ac:dyDescent="0.3">
      <c r="D21" s="30" t="s">
        <v>6</v>
      </c>
      <c r="E21" s="31"/>
      <c r="F21" s="31"/>
      <c r="G21" s="31"/>
      <c r="H21" s="31"/>
      <c r="I21" s="31"/>
      <c r="J21" s="71">
        <v>5</v>
      </c>
      <c r="K21" s="71"/>
      <c r="L21" s="72"/>
    </row>
    <row r="22" spans="3:12" ht="15" x14ac:dyDescent="0.3">
      <c r="D22" s="30" t="s">
        <v>7</v>
      </c>
      <c r="E22" s="31"/>
      <c r="F22" s="31"/>
      <c r="G22" s="31"/>
      <c r="H22" s="31"/>
      <c r="I22" s="31"/>
      <c r="J22" s="73">
        <v>1.0800000000000001E-2</v>
      </c>
      <c r="K22" s="71"/>
      <c r="L22" s="72"/>
    </row>
    <row r="23" spans="3:12" ht="15" x14ac:dyDescent="0.3">
      <c r="D23" s="65" t="s">
        <v>8</v>
      </c>
      <c r="E23" s="66"/>
      <c r="F23" s="66"/>
      <c r="G23" s="66"/>
      <c r="H23" s="66"/>
      <c r="I23" s="66"/>
      <c r="J23" s="24">
        <f>FV(Taxa_Mensal,Tempo_Anos*12,Investir_Mes*-1)</f>
        <v>50282.411615555058</v>
      </c>
      <c r="K23" s="25"/>
      <c r="L23" s="26"/>
    </row>
    <row r="24" spans="3:12" ht="15.6" thickBot="1" x14ac:dyDescent="0.35">
      <c r="D24" s="67" t="s">
        <v>9</v>
      </c>
      <c r="E24" s="68"/>
      <c r="F24" s="68"/>
      <c r="G24" s="68"/>
      <c r="H24" s="68"/>
      <c r="I24" s="68"/>
      <c r="J24" s="27">
        <f>J23*J16</f>
        <v>301.69446969333035</v>
      </c>
      <c r="K24" s="28"/>
      <c r="L24" s="29"/>
    </row>
    <row r="25" spans="3:12" ht="15" thickBot="1" x14ac:dyDescent="0.35"/>
    <row r="26" spans="3:12" ht="24.6" x14ac:dyDescent="0.3">
      <c r="D26" s="38" t="s">
        <v>10</v>
      </c>
      <c r="E26" s="39"/>
      <c r="F26" s="39"/>
      <c r="G26" s="39"/>
      <c r="H26" s="39"/>
      <c r="I26" s="39"/>
      <c r="J26" s="40" t="s">
        <v>11</v>
      </c>
      <c r="K26" s="40"/>
      <c r="L26" s="41"/>
    </row>
    <row r="27" spans="3:12" ht="15" x14ac:dyDescent="0.3">
      <c r="C27" s="2">
        <v>2</v>
      </c>
      <c r="D27" s="42" t="s">
        <v>12</v>
      </c>
      <c r="E27" s="43"/>
      <c r="F27" s="43"/>
      <c r="G27" s="43"/>
      <c r="H27" s="43"/>
      <c r="I27" s="9">
        <f>FV(Taxa_Mensal,$C27*12,Investir_Mes*-1)</f>
        <v>16338.518196348954</v>
      </c>
      <c r="J27" s="34">
        <f>I27*$J$16</f>
        <v>98.031109178093729</v>
      </c>
      <c r="K27" s="34"/>
      <c r="L27" s="35"/>
    </row>
    <row r="28" spans="3:12" ht="15" x14ac:dyDescent="0.3">
      <c r="C28" s="2">
        <v>5</v>
      </c>
      <c r="D28" s="44" t="s">
        <v>13</v>
      </c>
      <c r="E28" s="45"/>
      <c r="F28" s="45"/>
      <c r="G28" s="45"/>
      <c r="H28" s="45"/>
      <c r="I28" s="10">
        <f>FV(Taxa_Mensal,$C28*12,Investir_Mes*-1)</f>
        <v>50282.411615555058</v>
      </c>
      <c r="J28" s="34">
        <f t="shared" ref="J28:J31" si="0">I28*$J$16</f>
        <v>301.69446969333035</v>
      </c>
      <c r="K28" s="34"/>
      <c r="L28" s="35"/>
    </row>
    <row r="29" spans="3:12" ht="15" x14ac:dyDescent="0.3">
      <c r="C29" s="2">
        <v>10</v>
      </c>
      <c r="D29" s="44" t="s">
        <v>14</v>
      </c>
      <c r="E29" s="45"/>
      <c r="F29" s="45"/>
      <c r="G29" s="45"/>
      <c r="H29" s="45"/>
      <c r="I29" s="10">
        <f>FV(Taxa_Mensal,$C29*12,Investir_Mes*-1)</f>
        <v>146074.59975288005</v>
      </c>
      <c r="J29" s="34">
        <f t="shared" si="0"/>
        <v>876.44759851728031</v>
      </c>
      <c r="K29" s="34"/>
      <c r="L29" s="35"/>
    </row>
    <row r="30" spans="3:12" ht="15" x14ac:dyDescent="0.3">
      <c r="C30" s="2">
        <v>20</v>
      </c>
      <c r="D30" s="44" t="s">
        <v>15</v>
      </c>
      <c r="E30" s="45"/>
      <c r="F30" s="45"/>
      <c r="G30" s="45"/>
      <c r="H30" s="45"/>
      <c r="I30" s="10">
        <f>FV(Taxa_Mensal,$C30*12,Investir_Mes*-1)</f>
        <v>676229.39597911399</v>
      </c>
      <c r="J30" s="34">
        <f t="shared" si="0"/>
        <v>4057.3763758746841</v>
      </c>
      <c r="K30" s="34"/>
      <c r="L30" s="35"/>
    </row>
    <row r="31" spans="3:12" ht="15.6" thickBot="1" x14ac:dyDescent="0.35">
      <c r="C31" s="2">
        <v>30</v>
      </c>
      <c r="D31" s="32" t="s">
        <v>16</v>
      </c>
      <c r="E31" s="33"/>
      <c r="F31" s="33"/>
      <c r="G31" s="33"/>
      <c r="H31" s="33"/>
      <c r="I31" s="11">
        <f>FV(Taxa_Mensal,$C31*12,Investir_Mes*-1)</f>
        <v>2600342.8861900507</v>
      </c>
      <c r="J31" s="36">
        <f t="shared" si="0"/>
        <v>15602.057317140305</v>
      </c>
      <c r="K31" s="36"/>
      <c r="L31" s="37"/>
    </row>
    <row r="33" spans="3:12" ht="15.6" x14ac:dyDescent="0.3">
      <c r="D33" s="5" t="s">
        <v>21</v>
      </c>
      <c r="E33" s="3"/>
      <c r="F33" s="3"/>
      <c r="G33" s="3"/>
      <c r="H33" s="3"/>
      <c r="I33" s="4" t="s">
        <v>17</v>
      </c>
      <c r="J33" s="3"/>
      <c r="K33" s="3"/>
      <c r="L33" s="3"/>
    </row>
    <row r="34" spans="3:12" ht="15" x14ac:dyDescent="0.35">
      <c r="D34" s="76" t="s">
        <v>20</v>
      </c>
      <c r="E34" s="76"/>
      <c r="F34" s="76"/>
      <c r="G34" s="76"/>
      <c r="H34" s="76"/>
      <c r="I34" s="22">
        <f>Investir_Mes</f>
        <v>600</v>
      </c>
      <c r="J34" s="23"/>
      <c r="K34" s="23"/>
      <c r="L34" s="23"/>
    </row>
    <row r="36" spans="3:12" ht="15" x14ac:dyDescent="0.3">
      <c r="D36" s="75" t="s">
        <v>22</v>
      </c>
      <c r="E36" s="75"/>
      <c r="F36" s="75"/>
      <c r="G36" s="75"/>
      <c r="H36" s="75"/>
      <c r="I36" s="7" t="s">
        <v>23</v>
      </c>
      <c r="J36" s="75" t="s">
        <v>30</v>
      </c>
      <c r="K36" s="75"/>
      <c r="L36" s="75"/>
    </row>
    <row r="37" spans="3:12" ht="15" x14ac:dyDescent="0.3">
      <c r="C37" s="2" t="s">
        <v>24</v>
      </c>
      <c r="D37" s="77" t="s">
        <v>24</v>
      </c>
      <c r="E37" s="77"/>
      <c r="F37" s="77"/>
      <c r="G37" s="77"/>
      <c r="H37" s="77"/>
      <c r="I37" s="8">
        <f>VLOOKUP($I$33&amp;"-"&amp;D37,'Tabela Apoio'!$A:$D,4,FALSE)</f>
        <v>0.5</v>
      </c>
      <c r="J37" s="46">
        <f>$I$34*I37</f>
        <v>300</v>
      </c>
      <c r="K37" s="46"/>
      <c r="L37" s="46"/>
    </row>
    <row r="38" spans="3:12" ht="15" x14ac:dyDescent="0.3">
      <c r="C38" s="2" t="s">
        <v>25</v>
      </c>
      <c r="D38" s="77" t="s">
        <v>25</v>
      </c>
      <c r="E38" s="77"/>
      <c r="F38" s="77"/>
      <c r="G38" s="77"/>
      <c r="H38" s="77"/>
      <c r="I38" s="8">
        <f>VLOOKUP($I$33&amp;"-"&amp;D38,'Tabela Apoio'!$A:$D,4,FALSE)</f>
        <v>0.1</v>
      </c>
      <c r="J38" s="46">
        <f t="shared" ref="J38:J42" si="1">$I$34*I38</f>
        <v>60</v>
      </c>
      <c r="K38" s="46"/>
      <c r="L38" s="46"/>
    </row>
    <row r="39" spans="3:12" ht="15" x14ac:dyDescent="0.3">
      <c r="C39" s="2" t="s">
        <v>28</v>
      </c>
      <c r="D39" s="77" t="s">
        <v>28</v>
      </c>
      <c r="E39" s="77"/>
      <c r="F39" s="77"/>
      <c r="G39" s="77"/>
      <c r="H39" s="77"/>
      <c r="I39" s="8">
        <f>VLOOKUP($I$33&amp;"-"&amp;D39,'Tabela Apoio'!$A:$D,4,FALSE)</f>
        <v>0.05</v>
      </c>
      <c r="J39" s="46">
        <f t="shared" si="1"/>
        <v>30</v>
      </c>
      <c r="K39" s="46"/>
      <c r="L39" s="46"/>
    </row>
    <row r="40" spans="3:12" ht="15" x14ac:dyDescent="0.3">
      <c r="C40" s="2" t="s">
        <v>29</v>
      </c>
      <c r="D40" s="77" t="s">
        <v>29</v>
      </c>
      <c r="E40" s="77"/>
      <c r="F40" s="77"/>
      <c r="G40" s="77"/>
      <c r="H40" s="77"/>
      <c r="I40" s="8">
        <f>VLOOKUP($I$33&amp;"-"&amp;D40,'Tabela Apoio'!$A:$D,4,FALSE)</f>
        <v>0.05</v>
      </c>
      <c r="J40" s="46">
        <f t="shared" si="1"/>
        <v>30</v>
      </c>
      <c r="K40" s="46"/>
      <c r="L40" s="46"/>
    </row>
    <row r="41" spans="3:12" ht="15" x14ac:dyDescent="0.3">
      <c r="C41" s="2" t="s">
        <v>26</v>
      </c>
      <c r="D41" s="77" t="s">
        <v>26</v>
      </c>
      <c r="E41" s="77"/>
      <c r="F41" s="77"/>
      <c r="G41" s="77"/>
      <c r="H41" s="77"/>
      <c r="I41" s="8">
        <f>VLOOKUP($I$33&amp;"-"&amp;D41,'Tabela Apoio'!$A:$D,4,FALSE)</f>
        <v>0.2</v>
      </c>
      <c r="J41" s="46">
        <f t="shared" si="1"/>
        <v>120</v>
      </c>
      <c r="K41" s="46"/>
      <c r="L41" s="46"/>
    </row>
    <row r="42" spans="3:12" ht="15" x14ac:dyDescent="0.3">
      <c r="C42" s="2" t="s">
        <v>27</v>
      </c>
      <c r="D42" s="77" t="s">
        <v>27</v>
      </c>
      <c r="E42" s="77"/>
      <c r="F42" s="77"/>
      <c r="G42" s="77"/>
      <c r="H42" s="77"/>
      <c r="I42" s="8">
        <f>VLOOKUP($I$33&amp;"-"&amp;D42,'Tabela Apoio'!$A:$D,4,FALSE)</f>
        <v>0.1</v>
      </c>
      <c r="J42" s="46">
        <f t="shared" si="1"/>
        <v>60</v>
      </c>
      <c r="K42" s="46"/>
      <c r="L42" s="46"/>
    </row>
    <row r="43" spans="3:12" ht="15" x14ac:dyDescent="0.3">
      <c r="D43" s="75"/>
      <c r="E43" s="75"/>
      <c r="F43" s="75"/>
      <c r="G43" s="75"/>
      <c r="H43" s="75"/>
      <c r="I43" s="75"/>
      <c r="J43" s="74">
        <f>SUM(J37:L42)</f>
        <v>600</v>
      </c>
      <c r="K43" s="74"/>
      <c r="L43" s="74"/>
    </row>
  </sheetData>
  <mergeCells count="47">
    <mergeCell ref="J42:L42"/>
    <mergeCell ref="J43:L43"/>
    <mergeCell ref="J36:L36"/>
    <mergeCell ref="D36:H36"/>
    <mergeCell ref="D34:H34"/>
    <mergeCell ref="D37:H37"/>
    <mergeCell ref="D38:H38"/>
    <mergeCell ref="D39:H39"/>
    <mergeCell ref="D40:H40"/>
    <mergeCell ref="D41:H41"/>
    <mergeCell ref="D42:H42"/>
    <mergeCell ref="D43:I43"/>
    <mergeCell ref="J37:L37"/>
    <mergeCell ref="J38:L38"/>
    <mergeCell ref="J39:L39"/>
    <mergeCell ref="J40:L40"/>
    <mergeCell ref="J41:L41"/>
    <mergeCell ref="D14:L14"/>
    <mergeCell ref="D15:I15"/>
    <mergeCell ref="D16:I16"/>
    <mergeCell ref="D17:I17"/>
    <mergeCell ref="J15:L15"/>
    <mergeCell ref="J16:L16"/>
    <mergeCell ref="J17:L17"/>
    <mergeCell ref="D19:L19"/>
    <mergeCell ref="D20:I20"/>
    <mergeCell ref="D22:I22"/>
    <mergeCell ref="D23:I23"/>
    <mergeCell ref="D24:I24"/>
    <mergeCell ref="J20:L20"/>
    <mergeCell ref="J21:L21"/>
    <mergeCell ref="J22:L22"/>
    <mergeCell ref="J23:L23"/>
    <mergeCell ref="J24:L24"/>
    <mergeCell ref="D21:I21"/>
    <mergeCell ref="D31:H31"/>
    <mergeCell ref="J30:L30"/>
    <mergeCell ref="J31:L31"/>
    <mergeCell ref="D26:I26"/>
    <mergeCell ref="J26:L26"/>
    <mergeCell ref="D27:H27"/>
    <mergeCell ref="D28:H28"/>
    <mergeCell ref="D29:H29"/>
    <mergeCell ref="D30:H30"/>
    <mergeCell ref="J27:L27"/>
    <mergeCell ref="J28:L28"/>
    <mergeCell ref="J29:L29"/>
  </mergeCells>
  <dataValidations count="1">
    <dataValidation type="list" allowBlank="1" showInputMessage="1" showErrorMessage="1" sqref="I33" xr:uid="{330940C2-E2DB-46D0-BD1E-EFDDE9CEB754}">
      <formula1>"Conservador, Moderado, Agressivo"</formula1>
    </dataValidation>
  </dataValidations>
  <pageMargins left="0" right="0" top="0" bottom="0" header="0" footer="0"/>
  <pageSetup paperSize="9" scale="8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4E29-0166-4184-92BE-04C21BADA3CC}">
  <dimension ref="A3:G21"/>
  <sheetViews>
    <sheetView workbookViewId="0">
      <selection activeCell="D14" sqref="D14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8.88671875" bestFit="1" customWidth="1"/>
    <col min="4" max="4" width="9.109375" bestFit="1" customWidth="1"/>
  </cols>
  <sheetData>
    <row r="3" spans="1:7" x14ac:dyDescent="0.3">
      <c r="A3" s="21" t="s">
        <v>33</v>
      </c>
      <c r="B3" s="21" t="s">
        <v>21</v>
      </c>
      <c r="C3" s="21" t="s">
        <v>31</v>
      </c>
      <c r="D3" s="21" t="s">
        <v>32</v>
      </c>
    </row>
    <row r="4" spans="1:7" ht="15" x14ac:dyDescent="0.3">
      <c r="A4" s="6" t="str">
        <f>$B$4&amp;"-"&amp;C4</f>
        <v>Conservador-PAPEL</v>
      </c>
      <c r="B4" s="6" t="s">
        <v>19</v>
      </c>
      <c r="C4" s="12" t="s">
        <v>24</v>
      </c>
      <c r="D4" s="14">
        <v>0.3</v>
      </c>
      <c r="E4" s="13"/>
      <c r="F4" s="13"/>
      <c r="G4" s="13"/>
    </row>
    <row r="5" spans="1:7" ht="15" x14ac:dyDescent="0.3">
      <c r="A5" s="6" t="str">
        <f t="shared" ref="A5:A9" si="0">$B$4&amp;"-"&amp;C5</f>
        <v>Conservador-TIJOLO</v>
      </c>
      <c r="B5" s="6" t="s">
        <v>19</v>
      </c>
      <c r="C5" s="12" t="s">
        <v>25</v>
      </c>
      <c r="D5" s="14">
        <v>0.5</v>
      </c>
      <c r="E5" s="13"/>
      <c r="F5" s="13"/>
      <c r="G5" s="13"/>
    </row>
    <row r="6" spans="1:7" ht="15" x14ac:dyDescent="0.3">
      <c r="A6" s="6" t="str">
        <f t="shared" si="0"/>
        <v>Conservador-HÍBRIDOS</v>
      </c>
      <c r="B6" s="6" t="s">
        <v>19</v>
      </c>
      <c r="C6" s="12" t="s">
        <v>28</v>
      </c>
      <c r="D6" s="14">
        <v>0.1</v>
      </c>
      <c r="E6" s="13"/>
      <c r="F6" s="13"/>
      <c r="G6" s="13"/>
    </row>
    <row r="7" spans="1:7" ht="15" x14ac:dyDescent="0.3">
      <c r="A7" s="6" t="str">
        <f t="shared" si="0"/>
        <v>Conservador-FOFs</v>
      </c>
      <c r="B7" s="6" t="s">
        <v>19</v>
      </c>
      <c r="C7" s="12" t="s">
        <v>29</v>
      </c>
      <c r="D7" s="14">
        <v>0.1</v>
      </c>
      <c r="E7" s="13"/>
      <c r="F7" s="13"/>
      <c r="G7" s="13"/>
    </row>
    <row r="8" spans="1:7" ht="15" x14ac:dyDescent="0.3">
      <c r="A8" s="6" t="str">
        <f t="shared" si="0"/>
        <v>Conservador-DESENVOLVIMENTO</v>
      </c>
      <c r="B8" s="6" t="s">
        <v>19</v>
      </c>
      <c r="C8" s="12" t="s">
        <v>26</v>
      </c>
      <c r="D8" s="14">
        <v>0</v>
      </c>
      <c r="E8" s="13"/>
      <c r="F8" s="13"/>
      <c r="G8" s="13"/>
    </row>
    <row r="9" spans="1:7" ht="15.6" thickBot="1" x14ac:dyDescent="0.35">
      <c r="A9" s="18" t="str">
        <f t="shared" si="0"/>
        <v>Conservador-HOTELARIAS</v>
      </c>
      <c r="B9" s="18" t="s">
        <v>19</v>
      </c>
      <c r="C9" s="15" t="s">
        <v>27</v>
      </c>
      <c r="D9" s="16">
        <v>0</v>
      </c>
      <c r="E9" s="13"/>
      <c r="F9" s="13"/>
      <c r="G9" s="13"/>
    </row>
    <row r="10" spans="1:7" ht="15" x14ac:dyDescent="0.3">
      <c r="A10" s="6" t="str">
        <f>$B$10&amp;"-"&amp;C10</f>
        <v>Moderado-PAPEL</v>
      </c>
      <c r="B10" s="6" t="s">
        <v>18</v>
      </c>
      <c r="C10" s="12" t="s">
        <v>24</v>
      </c>
      <c r="D10" s="17">
        <v>0.32</v>
      </c>
    </row>
    <row r="11" spans="1:7" ht="15" x14ac:dyDescent="0.3">
      <c r="A11" s="6" t="str">
        <f t="shared" ref="A11:A15" si="1">$B$10&amp;"-"&amp;C11</f>
        <v>Moderado-TIJOLO</v>
      </c>
      <c r="B11" s="6" t="s">
        <v>18</v>
      </c>
      <c r="C11" s="12" t="s">
        <v>25</v>
      </c>
      <c r="D11" s="17">
        <v>0.35</v>
      </c>
    </row>
    <row r="12" spans="1:7" ht="15" x14ac:dyDescent="0.3">
      <c r="A12" s="6" t="str">
        <f t="shared" si="1"/>
        <v>Moderado-HÍBRIDOS</v>
      </c>
      <c r="B12" s="6" t="s">
        <v>18</v>
      </c>
      <c r="C12" s="12" t="s">
        <v>28</v>
      </c>
      <c r="D12" s="17">
        <v>0.08</v>
      </c>
    </row>
    <row r="13" spans="1:7" ht="15" x14ac:dyDescent="0.3">
      <c r="A13" s="6" t="str">
        <f t="shared" si="1"/>
        <v>Moderado-FOFs</v>
      </c>
      <c r="B13" s="6" t="s">
        <v>18</v>
      </c>
      <c r="C13" s="12" t="s">
        <v>29</v>
      </c>
      <c r="D13" s="17">
        <v>0.05</v>
      </c>
    </row>
    <row r="14" spans="1:7" ht="15" x14ac:dyDescent="0.3">
      <c r="A14" s="6" t="str">
        <f t="shared" si="1"/>
        <v>Moderado-DESENVOLVIMENTO</v>
      </c>
      <c r="B14" s="6" t="s">
        <v>18</v>
      </c>
      <c r="C14" s="12" t="s">
        <v>26</v>
      </c>
      <c r="D14" s="17">
        <v>0.1</v>
      </c>
    </row>
    <row r="15" spans="1:7" ht="15.6" thickBot="1" x14ac:dyDescent="0.35">
      <c r="A15" s="18" t="str">
        <f t="shared" si="1"/>
        <v>Moderado-HOTELARIAS</v>
      </c>
      <c r="B15" s="18" t="s">
        <v>18</v>
      </c>
      <c r="C15" s="15" t="s">
        <v>27</v>
      </c>
      <c r="D15" s="19">
        <v>0.1</v>
      </c>
    </row>
    <row r="16" spans="1:7" ht="15" x14ac:dyDescent="0.3">
      <c r="A16" s="6" t="str">
        <f>$B$16&amp;"-"&amp;C16</f>
        <v>Agressivo-PAPEL</v>
      </c>
      <c r="B16" s="6" t="s">
        <v>17</v>
      </c>
      <c r="C16" s="12" t="s">
        <v>24</v>
      </c>
      <c r="D16" s="17">
        <v>0.5</v>
      </c>
    </row>
    <row r="17" spans="1:4" ht="15" x14ac:dyDescent="0.3">
      <c r="A17" s="6" t="str">
        <f t="shared" ref="A17:A21" si="2">$B$16&amp;"-"&amp;C17</f>
        <v>Agressivo-TIJOLO</v>
      </c>
      <c r="B17" s="6" t="s">
        <v>17</v>
      </c>
      <c r="C17" s="12" t="s">
        <v>25</v>
      </c>
      <c r="D17" s="17">
        <v>0.1</v>
      </c>
    </row>
    <row r="18" spans="1:4" ht="15" x14ac:dyDescent="0.3">
      <c r="A18" s="6" t="str">
        <f t="shared" si="2"/>
        <v>Agressivo-HÍBRIDOS</v>
      </c>
      <c r="B18" s="6" t="s">
        <v>17</v>
      </c>
      <c r="C18" s="12" t="s">
        <v>28</v>
      </c>
      <c r="D18" s="17">
        <v>0.05</v>
      </c>
    </row>
    <row r="19" spans="1:4" ht="15" x14ac:dyDescent="0.3">
      <c r="A19" s="6" t="str">
        <f t="shared" si="2"/>
        <v>Agressivo-FOFs</v>
      </c>
      <c r="B19" s="6" t="s">
        <v>17</v>
      </c>
      <c r="C19" s="12" t="s">
        <v>29</v>
      </c>
      <c r="D19" s="17">
        <v>0.05</v>
      </c>
    </row>
    <row r="20" spans="1:4" ht="15" x14ac:dyDescent="0.3">
      <c r="A20" s="6" t="str">
        <f t="shared" si="2"/>
        <v>Agressivo-DESENVOLVIMENTO</v>
      </c>
      <c r="B20" s="6" t="s">
        <v>17</v>
      </c>
      <c r="C20" s="12" t="s">
        <v>26</v>
      </c>
      <c r="D20" s="20">
        <v>0.2</v>
      </c>
    </row>
    <row r="21" spans="1:4" ht="15" x14ac:dyDescent="0.3">
      <c r="A21" s="6" t="str">
        <f t="shared" si="2"/>
        <v>Agressivo-HOTELARIAS</v>
      </c>
      <c r="B21" s="6" t="s">
        <v>17</v>
      </c>
      <c r="C21" s="12" t="s">
        <v>27</v>
      </c>
      <c r="D21" s="1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Tabela Apoio</vt:lpstr>
      <vt:lpstr>Investir_Mes</vt:lpstr>
      <vt:lpstr>Salario_Base</vt:lpstr>
      <vt:lpstr>Sugestao_Investimento</vt:lpstr>
      <vt:lpstr>Taxa_Mensal</vt:lpstr>
      <vt:lpstr>Tempo_Anos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cp:lastPrinted>2026-10-11T01:24:43Z</cp:lastPrinted>
  <dcterms:created xsi:type="dcterms:W3CDTF">2026-09-02T00:06:35Z</dcterms:created>
  <dcterms:modified xsi:type="dcterms:W3CDTF">2026-10-11T01:24:48Z</dcterms:modified>
</cp:coreProperties>
</file>